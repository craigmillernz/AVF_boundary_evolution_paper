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AVF\"/>
    </mc:Choice>
  </mc:AlternateContent>
  <xr:revisionPtr revIDLastSave="0" documentId="13_ncr:1_{EBC26D77-DECB-40B2-A75B-3DFC32C46302}" xr6:coauthVersionLast="47" xr6:coauthVersionMax="47" xr10:uidLastSave="{00000000-0000-0000-0000-000000000000}"/>
  <bookViews>
    <workbookView xWindow="28680" yWindow="-120" windowWidth="29040" windowHeight="15720" xr2:uid="{F8D56777-7D4E-418B-A8E1-2975BA443BE7}"/>
  </bookViews>
  <sheets>
    <sheet name="AVF structural analysis" sheetId="1" r:id="rId1"/>
    <sheet name="Final azimuth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3" i="1"/>
</calcChain>
</file>

<file path=xl/sharedStrings.xml><?xml version="1.0" encoding="utf-8"?>
<sst xmlns="http://schemas.openxmlformats.org/spreadsheetml/2006/main" count="56" uniqueCount="8">
  <si>
    <t>order</t>
  </si>
  <si>
    <t>easting</t>
  </si>
  <si>
    <t>northing</t>
  </si>
  <si>
    <t>azimuth</t>
  </si>
  <si>
    <t>N</t>
  </si>
  <si>
    <t>Y</t>
  </si>
  <si>
    <t>95% threshold?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</si>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</sst>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781DD-D265-4AAD-965B-975E5C8D1E1A}">
  <dimension ref="A1:I52"/>
  <sheetViews>
    <sheetView tabSelected="1" topLeftCell="A19" workbookViewId="0">
      <selection activeCell="H3" sqref="H3:H52"/>
    </sheetView>
  </sheetViews>
  <sheetFormatPr defaultRowHeight="15" x14ac:dyDescent="0.25"/>
  <cols>
    <col min="5" max="5" width="14" customWidth="1"/>
    <col min="7" max="7" width="9.140625" style="1"/>
    <col min="8" max="8" width="9.140625" style="2"/>
  </cols>
  <sheetData>
    <row r="1" spans="1:9" x14ac:dyDescent="0.25">
      <c r="A1" t="s">
        <v>0</v>
      </c>
      <c r="B1" t="s">
        <v>1</v>
      </c>
      <c r="C1" t="s">
        <v>2</v>
      </c>
      <c r="D1" t="s">
        <v>7</v>
      </c>
      <c r="E1" t="s">
        <v>6</v>
      </c>
      <c r="F1" t="s">
        <v>3</v>
      </c>
    </row>
    <row r="2" spans="1:9" x14ac:dyDescent="0.25">
      <c r="A2">
        <v>1</v>
      </c>
      <c r="B2">
        <v>1757491</v>
      </c>
      <c r="C2">
        <v>5928024</v>
      </c>
    </row>
    <row r="3" spans="1:9" x14ac:dyDescent="0.25">
      <c r="A3">
        <v>2</v>
      </c>
      <c r="B3">
        <v>1756177</v>
      </c>
      <c r="C3">
        <v>5924963</v>
      </c>
      <c r="D3">
        <v>3331</v>
      </c>
      <c r="E3" t="s">
        <v>4</v>
      </c>
      <c r="F3">
        <v>23</v>
      </c>
      <c r="G3" s="1">
        <f>SQRT((C3-C2)^2 + (B3-B2)^2)</f>
        <v>3331.1134775026803</v>
      </c>
      <c r="H3" s="2">
        <f>MOD(DEGREES(ATAN2((C3-C2), (B3-B2))), 360)</f>
        <v>203.23246794644186</v>
      </c>
      <c r="I3" t="str">
        <f>IF(C3&gt;C2, "TRUE", "FALSE")</f>
        <v>FALSE</v>
      </c>
    </row>
    <row r="4" spans="1:9" x14ac:dyDescent="0.25">
      <c r="A4">
        <v>3</v>
      </c>
      <c r="B4">
        <v>1756418</v>
      </c>
      <c r="C4">
        <v>5925689</v>
      </c>
      <c r="D4">
        <v>765</v>
      </c>
      <c r="E4" t="s">
        <v>5</v>
      </c>
      <c r="F4">
        <v>18</v>
      </c>
      <c r="G4" s="1">
        <f t="shared" ref="G4:G52" si="0">SQRT((C4-C3)^2 + (B4-B3)^2)</f>
        <v>764.95555426442911</v>
      </c>
      <c r="H4" s="2">
        <f t="shared" ref="H4:H52" si="1">MOD(DEGREES(ATAN2((C4-C3), (B4-B3))), 360)</f>
        <v>18.363891671034668</v>
      </c>
      <c r="I4" t="str">
        <f t="shared" ref="I4:I52" si="2">IF(C4&gt;C3, "TRUE", "FALSE")</f>
        <v>TRUE</v>
      </c>
    </row>
    <row r="5" spans="1:9" x14ac:dyDescent="0.25">
      <c r="A5">
        <v>4</v>
      </c>
      <c r="B5">
        <v>1766510</v>
      </c>
      <c r="C5">
        <v>5920453</v>
      </c>
      <c r="D5">
        <v>11369</v>
      </c>
      <c r="E5" t="s">
        <v>4</v>
      </c>
      <c r="F5">
        <v>117</v>
      </c>
      <c r="G5" s="1">
        <f t="shared" si="0"/>
        <v>11369.439739934418</v>
      </c>
      <c r="H5" s="2">
        <f t="shared" si="1"/>
        <v>117.42149392366646</v>
      </c>
      <c r="I5" t="str">
        <f t="shared" si="2"/>
        <v>FALSE</v>
      </c>
    </row>
    <row r="6" spans="1:9" x14ac:dyDescent="0.25">
      <c r="A6">
        <v>5</v>
      </c>
      <c r="B6">
        <v>1757530</v>
      </c>
      <c r="C6">
        <v>5920398</v>
      </c>
      <c r="D6">
        <v>8980</v>
      </c>
      <c r="E6" t="s">
        <v>4</v>
      </c>
      <c r="F6">
        <v>90</v>
      </c>
      <c r="G6" s="1">
        <f t="shared" si="0"/>
        <v>8980.1684282645838</v>
      </c>
      <c r="H6" s="2">
        <f t="shared" si="1"/>
        <v>269.649083689262</v>
      </c>
      <c r="I6" t="str">
        <f t="shared" si="2"/>
        <v>FALSE</v>
      </c>
    </row>
    <row r="7" spans="1:9" x14ac:dyDescent="0.25">
      <c r="A7">
        <v>6</v>
      </c>
      <c r="B7">
        <v>1761468</v>
      </c>
      <c r="C7">
        <v>5908530</v>
      </c>
      <c r="D7">
        <v>12504</v>
      </c>
      <c r="E7" t="s">
        <v>4</v>
      </c>
      <c r="F7">
        <v>162</v>
      </c>
      <c r="G7" s="1">
        <f t="shared" si="0"/>
        <v>12504.289983841545</v>
      </c>
      <c r="H7" s="2">
        <f t="shared" si="1"/>
        <v>161.64329633843369</v>
      </c>
      <c r="I7" t="str">
        <f t="shared" si="2"/>
        <v>FALSE</v>
      </c>
    </row>
    <row r="8" spans="1:9" x14ac:dyDescent="0.25">
      <c r="A8">
        <v>7</v>
      </c>
      <c r="B8">
        <v>1766058</v>
      </c>
      <c r="C8">
        <v>5909628</v>
      </c>
      <c r="D8">
        <v>4720</v>
      </c>
      <c r="E8" t="s">
        <v>4</v>
      </c>
      <c r="F8">
        <v>77</v>
      </c>
      <c r="G8" s="1">
        <f t="shared" si="0"/>
        <v>4719.5025161557014</v>
      </c>
      <c r="H8" s="2">
        <f t="shared" si="1"/>
        <v>76.546764693544603</v>
      </c>
      <c r="I8" t="str">
        <f t="shared" si="2"/>
        <v>TRUE</v>
      </c>
    </row>
    <row r="9" spans="1:9" x14ac:dyDescent="0.25">
      <c r="A9">
        <v>8</v>
      </c>
      <c r="B9">
        <v>1761622</v>
      </c>
      <c r="C9">
        <v>5918354</v>
      </c>
      <c r="D9">
        <v>9789</v>
      </c>
      <c r="E9" t="s">
        <v>4</v>
      </c>
      <c r="F9">
        <v>153</v>
      </c>
      <c r="G9" s="1">
        <f t="shared" si="0"/>
        <v>9788.8289391530379</v>
      </c>
      <c r="H9" s="2">
        <f t="shared" si="1"/>
        <v>333.05277321310615</v>
      </c>
      <c r="I9" t="str">
        <f t="shared" si="2"/>
        <v>TRUE</v>
      </c>
    </row>
    <row r="10" spans="1:9" x14ac:dyDescent="0.25">
      <c r="A10">
        <v>9</v>
      </c>
      <c r="B10">
        <v>1753270</v>
      </c>
      <c r="C10">
        <v>5915910</v>
      </c>
      <c r="D10">
        <v>8702</v>
      </c>
      <c r="E10" t="s">
        <v>4</v>
      </c>
      <c r="F10">
        <v>74</v>
      </c>
      <c r="G10" s="1">
        <f t="shared" si="0"/>
        <v>8702.2433889198946</v>
      </c>
      <c r="H10" s="2">
        <f t="shared" si="1"/>
        <v>253.68922998063948</v>
      </c>
      <c r="I10" t="str">
        <f t="shared" si="2"/>
        <v>FALSE</v>
      </c>
    </row>
    <row r="11" spans="1:9" x14ac:dyDescent="0.25">
      <c r="A11">
        <v>10</v>
      </c>
      <c r="B11">
        <v>1757681</v>
      </c>
      <c r="C11">
        <v>5918794</v>
      </c>
      <c r="D11">
        <v>5270</v>
      </c>
      <c r="E11" t="s">
        <v>4</v>
      </c>
      <c r="F11">
        <v>57</v>
      </c>
      <c r="G11" s="1">
        <f t="shared" si="0"/>
        <v>5270.1401309642615</v>
      </c>
      <c r="H11" s="2">
        <f t="shared" si="1"/>
        <v>56.822538265100704</v>
      </c>
      <c r="I11" t="str">
        <f t="shared" si="2"/>
        <v>TRUE</v>
      </c>
    </row>
    <row r="12" spans="1:9" x14ac:dyDescent="0.25">
      <c r="A12">
        <v>11</v>
      </c>
      <c r="B12">
        <v>1758150</v>
      </c>
      <c r="C12">
        <v>5919000</v>
      </c>
      <c r="D12">
        <v>512</v>
      </c>
      <c r="E12" t="s">
        <v>5</v>
      </c>
      <c r="F12">
        <v>66</v>
      </c>
      <c r="G12" s="1">
        <f t="shared" si="0"/>
        <v>512.24701072822279</v>
      </c>
      <c r="H12" s="2">
        <f t="shared" si="1"/>
        <v>66.287362196754515</v>
      </c>
      <c r="I12" t="str">
        <f t="shared" si="2"/>
        <v>TRUE</v>
      </c>
    </row>
    <row r="13" spans="1:9" x14ac:dyDescent="0.25">
      <c r="A13">
        <v>12</v>
      </c>
      <c r="B13">
        <v>1754762</v>
      </c>
      <c r="C13">
        <v>5913419</v>
      </c>
      <c r="D13">
        <v>6529</v>
      </c>
      <c r="E13" t="s">
        <v>4</v>
      </c>
      <c r="F13">
        <v>31</v>
      </c>
      <c r="G13" s="1">
        <f t="shared" si="0"/>
        <v>6528.8670533255618</v>
      </c>
      <c r="H13" s="2">
        <f t="shared" si="1"/>
        <v>211.26024889627791</v>
      </c>
      <c r="I13" t="str">
        <f t="shared" si="2"/>
        <v>FALSE</v>
      </c>
    </row>
    <row r="14" spans="1:9" x14ac:dyDescent="0.25">
      <c r="A14">
        <v>13</v>
      </c>
      <c r="B14">
        <v>1755589</v>
      </c>
      <c r="C14">
        <v>5904236</v>
      </c>
      <c r="D14">
        <v>9220</v>
      </c>
      <c r="E14" t="s">
        <v>4</v>
      </c>
      <c r="F14">
        <v>175</v>
      </c>
      <c r="G14" s="1">
        <f t="shared" si="0"/>
        <v>9220.1636644909941</v>
      </c>
      <c r="H14" s="2">
        <f t="shared" si="1"/>
        <v>174.85395518365215</v>
      </c>
      <c r="I14" t="str">
        <f t="shared" si="2"/>
        <v>FALSE</v>
      </c>
    </row>
    <row r="15" spans="1:9" x14ac:dyDescent="0.25">
      <c r="A15">
        <v>14</v>
      </c>
      <c r="B15">
        <v>1761615</v>
      </c>
      <c r="C15">
        <v>5922729</v>
      </c>
      <c r="D15">
        <v>19450</v>
      </c>
      <c r="E15" t="s">
        <v>4</v>
      </c>
      <c r="F15">
        <v>18</v>
      </c>
      <c r="G15" s="1">
        <f t="shared" si="0"/>
        <v>19450.031490977079</v>
      </c>
      <c r="H15" s="2">
        <f t="shared" si="1"/>
        <v>18.048356063644647</v>
      </c>
      <c r="I15" t="str">
        <f t="shared" si="2"/>
        <v>TRUE</v>
      </c>
    </row>
    <row r="16" spans="1:9" x14ac:dyDescent="0.25">
      <c r="A16">
        <v>15</v>
      </c>
      <c r="B16">
        <v>1758602</v>
      </c>
      <c r="C16">
        <v>5916594</v>
      </c>
      <c r="D16">
        <v>6835</v>
      </c>
      <c r="E16" t="s">
        <v>4</v>
      </c>
      <c r="F16">
        <v>26</v>
      </c>
      <c r="G16" s="1">
        <f t="shared" si="0"/>
        <v>6834.9392096784595</v>
      </c>
      <c r="H16" s="2">
        <f t="shared" si="1"/>
        <v>206.15641844279563</v>
      </c>
      <c r="I16" t="str">
        <f t="shared" si="2"/>
        <v>FALSE</v>
      </c>
    </row>
    <row r="17" spans="1:9" x14ac:dyDescent="0.25">
      <c r="A17">
        <v>16</v>
      </c>
      <c r="B17">
        <v>1758749</v>
      </c>
      <c r="C17">
        <v>5914754</v>
      </c>
      <c r="D17">
        <v>1846</v>
      </c>
      <c r="E17" t="s">
        <v>5</v>
      </c>
      <c r="F17">
        <v>175</v>
      </c>
      <c r="G17" s="1">
        <f t="shared" si="0"/>
        <v>1845.8626709481939</v>
      </c>
      <c r="H17" s="2">
        <f t="shared" si="1"/>
        <v>175.43226699119975</v>
      </c>
      <c r="I17" t="str">
        <f t="shared" si="2"/>
        <v>FALSE</v>
      </c>
    </row>
    <row r="18" spans="1:9" x14ac:dyDescent="0.25">
      <c r="A18">
        <v>17</v>
      </c>
      <c r="B18">
        <v>1758261</v>
      </c>
      <c r="C18">
        <v>5908468</v>
      </c>
      <c r="D18">
        <v>6305</v>
      </c>
      <c r="E18" t="s">
        <v>4</v>
      </c>
      <c r="F18">
        <v>4</v>
      </c>
      <c r="G18" s="1">
        <f t="shared" si="0"/>
        <v>6304.9139565897331</v>
      </c>
      <c r="H18" s="2">
        <f t="shared" si="1"/>
        <v>184.43913007655289</v>
      </c>
      <c r="I18" t="str">
        <f t="shared" si="2"/>
        <v>FALSE</v>
      </c>
    </row>
    <row r="19" spans="1:9" x14ac:dyDescent="0.25">
      <c r="A19">
        <v>18</v>
      </c>
      <c r="B19">
        <v>1758776</v>
      </c>
      <c r="C19">
        <v>5909215</v>
      </c>
      <c r="D19">
        <v>907</v>
      </c>
      <c r="E19" t="s">
        <v>5</v>
      </c>
      <c r="F19">
        <v>35</v>
      </c>
      <c r="G19" s="1">
        <f t="shared" si="0"/>
        <v>907.32243441898868</v>
      </c>
      <c r="H19" s="2">
        <f t="shared" si="1"/>
        <v>34.58332585876331</v>
      </c>
      <c r="I19" t="str">
        <f t="shared" si="2"/>
        <v>TRUE</v>
      </c>
    </row>
    <row r="20" spans="1:9" x14ac:dyDescent="0.25">
      <c r="A20">
        <v>19</v>
      </c>
      <c r="B20">
        <v>1768847</v>
      </c>
      <c r="C20">
        <v>5908906</v>
      </c>
      <c r="D20">
        <v>10076</v>
      </c>
      <c r="E20" t="s">
        <v>4</v>
      </c>
      <c r="F20">
        <v>92</v>
      </c>
      <c r="G20" s="1">
        <f t="shared" si="0"/>
        <v>10075.739278087738</v>
      </c>
      <c r="H20" s="2">
        <f t="shared" si="1"/>
        <v>91.757406751769437</v>
      </c>
      <c r="I20" t="str">
        <f t="shared" si="2"/>
        <v>FALSE</v>
      </c>
    </row>
    <row r="21" spans="1:9" x14ac:dyDescent="0.25">
      <c r="A21">
        <v>20</v>
      </c>
      <c r="B21">
        <v>1769127</v>
      </c>
      <c r="C21">
        <v>5909239</v>
      </c>
      <c r="D21">
        <v>435</v>
      </c>
      <c r="E21" t="s">
        <v>5</v>
      </c>
      <c r="F21">
        <v>40</v>
      </c>
      <c r="G21" s="1">
        <f t="shared" si="0"/>
        <v>435.07355699927342</v>
      </c>
      <c r="H21" s="2">
        <f t="shared" si="1"/>
        <v>40.058493726245686</v>
      </c>
      <c r="I21" t="str">
        <f t="shared" si="2"/>
        <v>TRUE</v>
      </c>
    </row>
    <row r="22" spans="1:9" x14ac:dyDescent="0.25">
      <c r="A22">
        <v>21</v>
      </c>
      <c r="B22">
        <v>1764206</v>
      </c>
      <c r="C22">
        <v>5902041</v>
      </c>
      <c r="D22">
        <v>8719</v>
      </c>
      <c r="E22" t="s">
        <v>4</v>
      </c>
      <c r="F22">
        <v>34</v>
      </c>
      <c r="G22" s="1">
        <f t="shared" si="0"/>
        <v>8719.3718237038156</v>
      </c>
      <c r="H22" s="2">
        <f t="shared" si="1"/>
        <v>214.35893747915151</v>
      </c>
      <c r="I22" t="str">
        <f t="shared" si="2"/>
        <v>FALSE</v>
      </c>
    </row>
    <row r="23" spans="1:9" x14ac:dyDescent="0.25">
      <c r="A23">
        <v>22</v>
      </c>
      <c r="B23">
        <v>1761106</v>
      </c>
      <c r="C23">
        <v>5905519</v>
      </c>
      <c r="D23">
        <v>4659</v>
      </c>
      <c r="E23" t="s">
        <v>4</v>
      </c>
      <c r="F23">
        <v>138</v>
      </c>
      <c r="G23" s="1">
        <f t="shared" si="0"/>
        <v>4659.0217857400066</v>
      </c>
      <c r="H23" s="2">
        <f t="shared" si="1"/>
        <v>318.28884352715488</v>
      </c>
      <c r="I23" t="str">
        <f t="shared" si="2"/>
        <v>TRUE</v>
      </c>
    </row>
    <row r="24" spans="1:9" x14ac:dyDescent="0.25">
      <c r="A24">
        <v>23</v>
      </c>
      <c r="B24">
        <v>1760711</v>
      </c>
      <c r="C24">
        <v>5923054</v>
      </c>
      <c r="D24">
        <v>17539</v>
      </c>
      <c r="E24" t="s">
        <v>4</v>
      </c>
      <c r="F24">
        <v>179</v>
      </c>
      <c r="G24" s="1">
        <f t="shared" si="0"/>
        <v>17539.448394975254</v>
      </c>
      <c r="H24" s="2">
        <f t="shared" si="1"/>
        <v>358.7095519822239</v>
      </c>
      <c r="I24" t="str">
        <f t="shared" si="2"/>
        <v>TRUE</v>
      </c>
    </row>
    <row r="25" spans="1:9" x14ac:dyDescent="0.25">
      <c r="A25">
        <v>24</v>
      </c>
      <c r="B25">
        <v>1764564</v>
      </c>
      <c r="C25">
        <v>5911446</v>
      </c>
      <c r="D25">
        <v>12231</v>
      </c>
      <c r="E25" t="s">
        <v>4</v>
      </c>
      <c r="F25">
        <v>162</v>
      </c>
      <c r="G25" s="1">
        <f t="shared" si="0"/>
        <v>12230.751121660518</v>
      </c>
      <c r="H25" s="2">
        <f t="shared" si="1"/>
        <v>161.63763932233468</v>
      </c>
      <c r="I25" t="str">
        <f t="shared" si="2"/>
        <v>FALSE</v>
      </c>
    </row>
    <row r="26" spans="1:9" x14ac:dyDescent="0.25">
      <c r="A26">
        <v>25</v>
      </c>
      <c r="B26">
        <v>1760445</v>
      </c>
      <c r="C26">
        <v>5922853</v>
      </c>
      <c r="D26">
        <v>12128</v>
      </c>
      <c r="E26" t="s">
        <v>4</v>
      </c>
      <c r="F26">
        <v>160</v>
      </c>
      <c r="G26" s="1">
        <f t="shared" si="0"/>
        <v>12127.89388146186</v>
      </c>
      <c r="H26" s="2">
        <f t="shared" si="1"/>
        <v>340.14564963610883</v>
      </c>
      <c r="I26" t="str">
        <f t="shared" si="2"/>
        <v>TRUE</v>
      </c>
    </row>
    <row r="27" spans="1:9" x14ac:dyDescent="0.25">
      <c r="A27">
        <v>26</v>
      </c>
      <c r="B27">
        <v>1759242</v>
      </c>
      <c r="C27">
        <v>5917185</v>
      </c>
      <c r="D27">
        <v>5794</v>
      </c>
      <c r="E27" t="s">
        <v>4</v>
      </c>
      <c r="F27">
        <v>12</v>
      </c>
      <c r="G27" s="1">
        <f t="shared" si="0"/>
        <v>5794.2586238448139</v>
      </c>
      <c r="H27" s="2">
        <f t="shared" si="1"/>
        <v>191.98287433110238</v>
      </c>
      <c r="I27" t="str">
        <f t="shared" si="2"/>
        <v>FALSE</v>
      </c>
    </row>
    <row r="28" spans="1:9" x14ac:dyDescent="0.25">
      <c r="A28">
        <v>27</v>
      </c>
      <c r="B28">
        <v>1763881</v>
      </c>
      <c r="C28">
        <v>5905806</v>
      </c>
      <c r="D28">
        <v>12288</v>
      </c>
      <c r="E28" t="s">
        <v>4</v>
      </c>
      <c r="F28">
        <v>158</v>
      </c>
      <c r="G28" s="1">
        <f t="shared" si="0"/>
        <v>12288.285559832992</v>
      </c>
      <c r="H28" s="2">
        <f t="shared" si="1"/>
        <v>157.82022030720029</v>
      </c>
      <c r="I28" t="str">
        <f t="shared" si="2"/>
        <v>FALSE</v>
      </c>
    </row>
    <row r="29" spans="1:9" x14ac:dyDescent="0.25">
      <c r="A29">
        <v>28</v>
      </c>
      <c r="B29">
        <v>1766174</v>
      </c>
      <c r="C29">
        <v>5903189</v>
      </c>
      <c r="D29">
        <v>3479</v>
      </c>
      <c r="E29" t="s">
        <v>4</v>
      </c>
      <c r="F29">
        <v>139</v>
      </c>
      <c r="G29" s="1">
        <f t="shared" si="0"/>
        <v>3479.4450706973375</v>
      </c>
      <c r="H29" s="2">
        <f t="shared" si="1"/>
        <v>138.77534786887838</v>
      </c>
      <c r="I29" t="str">
        <f t="shared" si="2"/>
        <v>FALSE</v>
      </c>
    </row>
    <row r="30" spans="1:9" x14ac:dyDescent="0.25">
      <c r="A30">
        <v>29</v>
      </c>
      <c r="B30">
        <v>1758916</v>
      </c>
      <c r="C30">
        <v>5911450</v>
      </c>
      <c r="D30">
        <v>10996</v>
      </c>
      <c r="E30" t="s">
        <v>4</v>
      </c>
      <c r="F30">
        <v>139</v>
      </c>
      <c r="G30" s="1">
        <f t="shared" si="0"/>
        <v>10996.485120255473</v>
      </c>
      <c r="H30" s="2">
        <f t="shared" si="1"/>
        <v>318.69790906754218</v>
      </c>
      <c r="I30" t="str">
        <f t="shared" si="2"/>
        <v>TRUE</v>
      </c>
    </row>
    <row r="31" spans="1:9" x14ac:dyDescent="0.25">
      <c r="A31">
        <v>30</v>
      </c>
      <c r="B31">
        <v>1756455</v>
      </c>
      <c r="C31">
        <v>5914230</v>
      </c>
      <c r="D31">
        <v>3713</v>
      </c>
      <c r="E31" t="s">
        <v>4</v>
      </c>
      <c r="F31">
        <v>138</v>
      </c>
      <c r="G31" s="1">
        <f t="shared" si="0"/>
        <v>3712.8050043060434</v>
      </c>
      <c r="H31" s="2">
        <f t="shared" si="1"/>
        <v>318.48308204518105</v>
      </c>
      <c r="I31" t="str">
        <f t="shared" si="2"/>
        <v>TRUE</v>
      </c>
    </row>
    <row r="32" spans="1:9" x14ac:dyDescent="0.25">
      <c r="A32">
        <v>31</v>
      </c>
      <c r="B32">
        <v>1765357</v>
      </c>
      <c r="C32">
        <v>5902694</v>
      </c>
      <c r="D32">
        <v>14571</v>
      </c>
      <c r="E32" t="s">
        <v>4</v>
      </c>
      <c r="F32">
        <v>142</v>
      </c>
      <c r="G32" s="1">
        <f t="shared" si="0"/>
        <v>14571.372618940193</v>
      </c>
      <c r="H32" s="2">
        <f t="shared" si="1"/>
        <v>142.3436619801289</v>
      </c>
      <c r="I32" t="str">
        <f t="shared" si="2"/>
        <v>FALSE</v>
      </c>
    </row>
    <row r="33" spans="1:9" x14ac:dyDescent="0.25">
      <c r="A33">
        <v>32</v>
      </c>
      <c r="B33">
        <v>1762772</v>
      </c>
      <c r="C33">
        <v>5905144</v>
      </c>
      <c r="D33">
        <v>3562</v>
      </c>
      <c r="E33" t="s">
        <v>4</v>
      </c>
      <c r="F33">
        <v>133</v>
      </c>
      <c r="G33" s="1">
        <f t="shared" si="0"/>
        <v>3561.5621572562791</v>
      </c>
      <c r="H33" s="2">
        <f t="shared" si="1"/>
        <v>313.46413555396072</v>
      </c>
      <c r="I33" t="str">
        <f t="shared" si="2"/>
        <v>TRUE</v>
      </c>
    </row>
    <row r="34" spans="1:9" x14ac:dyDescent="0.25">
      <c r="A34">
        <v>33</v>
      </c>
      <c r="B34">
        <v>1763822</v>
      </c>
      <c r="C34">
        <v>5911001</v>
      </c>
      <c r="D34">
        <v>5950</v>
      </c>
      <c r="E34" t="s">
        <v>4</v>
      </c>
      <c r="F34">
        <v>10</v>
      </c>
      <c r="G34" s="1">
        <f t="shared" si="0"/>
        <v>5950.3738538011203</v>
      </c>
      <c r="H34" s="2">
        <f t="shared" si="1"/>
        <v>10.163603232096575</v>
      </c>
      <c r="I34" t="str">
        <f t="shared" si="2"/>
        <v>TRUE</v>
      </c>
    </row>
    <row r="35" spans="1:9" x14ac:dyDescent="0.25">
      <c r="A35">
        <v>34</v>
      </c>
      <c r="B35">
        <v>1766842</v>
      </c>
      <c r="C35">
        <v>5918511</v>
      </c>
      <c r="D35">
        <v>8094</v>
      </c>
      <c r="E35" t="s">
        <v>4</v>
      </c>
      <c r="F35">
        <v>22</v>
      </c>
      <c r="G35" s="1">
        <f t="shared" si="0"/>
        <v>8094.4734232684959</v>
      </c>
      <c r="H35" s="2">
        <f t="shared" si="1"/>
        <v>21.906563356843378</v>
      </c>
      <c r="I35" t="str">
        <f t="shared" si="2"/>
        <v>TRUE</v>
      </c>
    </row>
    <row r="36" spans="1:9" x14ac:dyDescent="0.25">
      <c r="A36">
        <v>35</v>
      </c>
      <c r="B36">
        <v>1755448</v>
      </c>
      <c r="C36">
        <v>5907568</v>
      </c>
      <c r="D36">
        <v>15798</v>
      </c>
      <c r="E36" t="s">
        <v>4</v>
      </c>
      <c r="F36">
        <v>46</v>
      </c>
      <c r="G36" s="1">
        <f t="shared" si="0"/>
        <v>15797.863304890318</v>
      </c>
      <c r="H36" s="2">
        <f t="shared" si="1"/>
        <v>226.15668558941982</v>
      </c>
      <c r="I36" t="str">
        <f t="shared" si="2"/>
        <v>FALSE</v>
      </c>
    </row>
    <row r="37" spans="1:9" x14ac:dyDescent="0.25">
      <c r="A37">
        <v>36</v>
      </c>
      <c r="B37">
        <v>1757238</v>
      </c>
      <c r="C37">
        <v>5917286</v>
      </c>
      <c r="D37">
        <v>9881</v>
      </c>
      <c r="E37" t="s">
        <v>4</v>
      </c>
      <c r="F37">
        <v>10</v>
      </c>
      <c r="G37" s="1">
        <f t="shared" si="0"/>
        <v>9881.4788366924113</v>
      </c>
      <c r="H37" s="2">
        <f t="shared" si="1"/>
        <v>10.436574979007545</v>
      </c>
      <c r="I37" t="str">
        <f t="shared" si="2"/>
        <v>TRUE</v>
      </c>
    </row>
    <row r="38" spans="1:9" x14ac:dyDescent="0.25">
      <c r="A38">
        <v>37</v>
      </c>
      <c r="B38">
        <v>1757442</v>
      </c>
      <c r="C38">
        <v>5916687</v>
      </c>
      <c r="D38">
        <v>633</v>
      </c>
      <c r="E38" t="s">
        <v>5</v>
      </c>
      <c r="F38">
        <v>161</v>
      </c>
      <c r="G38" s="1">
        <f t="shared" si="0"/>
        <v>632.78511360492666</v>
      </c>
      <c r="H38" s="2">
        <f t="shared" si="1"/>
        <v>161.1928199654262</v>
      </c>
      <c r="I38" t="str">
        <f t="shared" si="2"/>
        <v>FALSE</v>
      </c>
    </row>
    <row r="39" spans="1:9" x14ac:dyDescent="0.25">
      <c r="A39">
        <v>38</v>
      </c>
      <c r="B39">
        <v>1764777</v>
      </c>
      <c r="C39">
        <v>5914072</v>
      </c>
      <c r="D39">
        <v>7787</v>
      </c>
      <c r="E39" t="s">
        <v>4</v>
      </c>
      <c r="F39">
        <v>110</v>
      </c>
      <c r="G39" s="1">
        <f t="shared" si="0"/>
        <v>7787.197827203313</v>
      </c>
      <c r="H39" s="2">
        <f t="shared" si="1"/>
        <v>109.62165349461029</v>
      </c>
      <c r="I39" t="str">
        <f t="shared" si="2"/>
        <v>FALSE</v>
      </c>
    </row>
    <row r="40" spans="1:9" x14ac:dyDescent="0.25">
      <c r="A40">
        <v>39</v>
      </c>
      <c r="B40">
        <v>1761277</v>
      </c>
      <c r="C40">
        <v>5917431</v>
      </c>
      <c r="D40">
        <v>4851</v>
      </c>
      <c r="E40" t="s">
        <v>4</v>
      </c>
      <c r="F40">
        <v>134</v>
      </c>
      <c r="G40" s="1">
        <f t="shared" si="0"/>
        <v>4851.0700881351941</v>
      </c>
      <c r="H40" s="2">
        <f t="shared" si="1"/>
        <v>313.82234039753649</v>
      </c>
      <c r="I40" t="str">
        <f t="shared" si="2"/>
        <v>TRUE</v>
      </c>
    </row>
    <row r="41" spans="1:9" x14ac:dyDescent="0.25">
      <c r="A41">
        <v>40</v>
      </c>
      <c r="B41">
        <v>1768954</v>
      </c>
      <c r="C41">
        <v>5922378</v>
      </c>
      <c r="D41">
        <v>9133</v>
      </c>
      <c r="E41" t="s">
        <v>4</v>
      </c>
      <c r="F41">
        <v>57</v>
      </c>
      <c r="G41" s="1">
        <f t="shared" si="0"/>
        <v>9132.8603405504891</v>
      </c>
      <c r="H41" s="2">
        <f t="shared" si="1"/>
        <v>57.202578085058747</v>
      </c>
      <c r="I41" t="str">
        <f t="shared" si="2"/>
        <v>TRUE</v>
      </c>
    </row>
    <row r="42" spans="1:9" x14ac:dyDescent="0.25">
      <c r="A42">
        <v>41</v>
      </c>
      <c r="B42">
        <v>1763988</v>
      </c>
      <c r="C42">
        <v>5909281</v>
      </c>
      <c r="D42">
        <v>14007</v>
      </c>
      <c r="E42" t="s">
        <v>4</v>
      </c>
      <c r="F42">
        <v>21</v>
      </c>
      <c r="G42" s="1">
        <f t="shared" si="0"/>
        <v>14006.875633059644</v>
      </c>
      <c r="H42" s="2">
        <f t="shared" si="1"/>
        <v>200.76526480245599</v>
      </c>
      <c r="I42" t="str">
        <f t="shared" si="2"/>
        <v>FALSE</v>
      </c>
    </row>
    <row r="43" spans="1:9" x14ac:dyDescent="0.25">
      <c r="A43">
        <v>42</v>
      </c>
      <c r="B43">
        <v>1756099</v>
      </c>
      <c r="C43">
        <v>5905238</v>
      </c>
      <c r="D43">
        <v>8865</v>
      </c>
      <c r="E43" t="s">
        <v>4</v>
      </c>
      <c r="F43">
        <v>63</v>
      </c>
      <c r="G43" s="1">
        <f t="shared" si="0"/>
        <v>8864.6584818592983</v>
      </c>
      <c r="H43" s="2">
        <f t="shared" si="1"/>
        <v>242.86550747670123</v>
      </c>
      <c r="I43" t="str">
        <f t="shared" si="2"/>
        <v>FALSE</v>
      </c>
    </row>
    <row r="44" spans="1:9" x14ac:dyDescent="0.25">
      <c r="A44">
        <v>43</v>
      </c>
      <c r="B44">
        <v>1756395</v>
      </c>
      <c r="C44">
        <v>5905481</v>
      </c>
      <c r="D44">
        <v>383</v>
      </c>
      <c r="E44" t="s">
        <v>5</v>
      </c>
      <c r="F44">
        <v>51</v>
      </c>
      <c r="G44" s="1">
        <f t="shared" si="0"/>
        <v>382.96866712565401</v>
      </c>
      <c r="H44" s="2">
        <f t="shared" si="1"/>
        <v>50.615854657678248</v>
      </c>
      <c r="I44" t="str">
        <f t="shared" si="2"/>
        <v>TRUE</v>
      </c>
    </row>
    <row r="45" spans="1:9" x14ac:dyDescent="0.25">
      <c r="A45">
        <v>44</v>
      </c>
      <c r="B45">
        <v>1769529</v>
      </c>
      <c r="C45">
        <v>5915798</v>
      </c>
      <c r="D45">
        <v>16702</v>
      </c>
      <c r="E45" t="s">
        <v>4</v>
      </c>
      <c r="F45">
        <v>52</v>
      </c>
      <c r="G45" s="1">
        <f t="shared" si="0"/>
        <v>16701.570135768674</v>
      </c>
      <c r="H45" s="2">
        <f t="shared" si="1"/>
        <v>51.849709877666584</v>
      </c>
      <c r="I45" t="str">
        <f t="shared" si="2"/>
        <v>TRUE</v>
      </c>
    </row>
    <row r="46" spans="1:9" x14ac:dyDescent="0.25">
      <c r="A46">
        <v>45</v>
      </c>
      <c r="B46">
        <v>1757514</v>
      </c>
      <c r="C46">
        <v>5906170</v>
      </c>
      <c r="D46">
        <v>15397</v>
      </c>
      <c r="E46" t="s">
        <v>4</v>
      </c>
      <c r="F46">
        <v>51</v>
      </c>
      <c r="G46" s="1">
        <f t="shared" si="0"/>
        <v>15396.707732499179</v>
      </c>
      <c r="H46" s="2">
        <f t="shared" si="1"/>
        <v>231.29369817824917</v>
      </c>
      <c r="I46" t="str">
        <f t="shared" si="2"/>
        <v>FALSE</v>
      </c>
    </row>
    <row r="47" spans="1:9" x14ac:dyDescent="0.25">
      <c r="A47">
        <v>46</v>
      </c>
      <c r="B47">
        <v>1761429</v>
      </c>
      <c r="C47">
        <v>5912683</v>
      </c>
      <c r="D47">
        <v>7599</v>
      </c>
      <c r="E47" t="s">
        <v>4</v>
      </c>
      <c r="F47">
        <v>31</v>
      </c>
      <c r="G47" s="1">
        <f t="shared" si="0"/>
        <v>7599.1048157003333</v>
      </c>
      <c r="H47" s="2">
        <f t="shared" si="1"/>
        <v>31.010306918185648</v>
      </c>
      <c r="I47" t="str">
        <f t="shared" si="2"/>
        <v>TRUE</v>
      </c>
    </row>
    <row r="48" spans="1:9" x14ac:dyDescent="0.25">
      <c r="A48">
        <v>47</v>
      </c>
      <c r="B48">
        <v>1769191</v>
      </c>
      <c r="C48">
        <v>5910068</v>
      </c>
      <c r="D48">
        <v>8191</v>
      </c>
      <c r="E48" t="s">
        <v>4</v>
      </c>
      <c r="F48">
        <v>109</v>
      </c>
      <c r="G48" s="1">
        <f t="shared" si="0"/>
        <v>8190.6574217214093</v>
      </c>
      <c r="H48" s="2">
        <f t="shared" si="1"/>
        <v>108.61855306297559</v>
      </c>
      <c r="I48" t="str">
        <f t="shared" si="2"/>
        <v>FALSE</v>
      </c>
    </row>
    <row r="49" spans="1:9" x14ac:dyDescent="0.25">
      <c r="A49">
        <v>48</v>
      </c>
      <c r="B49">
        <v>1769266</v>
      </c>
      <c r="C49">
        <v>5910594</v>
      </c>
      <c r="D49">
        <v>531</v>
      </c>
      <c r="E49" t="s">
        <v>5</v>
      </c>
      <c r="F49">
        <v>8</v>
      </c>
      <c r="G49" s="1">
        <f t="shared" si="0"/>
        <v>531.32005420461974</v>
      </c>
      <c r="H49" s="2">
        <f t="shared" si="1"/>
        <v>8.1148519474059082</v>
      </c>
      <c r="I49" t="str">
        <f t="shared" si="2"/>
        <v>TRUE</v>
      </c>
    </row>
    <row r="50" spans="1:9" x14ac:dyDescent="0.25">
      <c r="A50">
        <v>49</v>
      </c>
      <c r="B50">
        <v>1764617</v>
      </c>
      <c r="C50">
        <v>5915906</v>
      </c>
      <c r="D50">
        <v>7059</v>
      </c>
      <c r="E50" t="s">
        <v>4</v>
      </c>
      <c r="F50">
        <v>139</v>
      </c>
      <c r="G50" s="1">
        <f t="shared" si="0"/>
        <v>7059.0753643802391</v>
      </c>
      <c r="H50" s="2">
        <f t="shared" si="1"/>
        <v>318.80796646085298</v>
      </c>
      <c r="I50" t="str">
        <f t="shared" si="2"/>
        <v>TRUE</v>
      </c>
    </row>
    <row r="51" spans="1:9" x14ac:dyDescent="0.25">
      <c r="A51">
        <v>50</v>
      </c>
      <c r="B51">
        <v>1764537</v>
      </c>
      <c r="C51">
        <v>5915512</v>
      </c>
      <c r="D51">
        <v>402</v>
      </c>
      <c r="E51" t="s">
        <v>5</v>
      </c>
      <c r="F51">
        <v>11</v>
      </c>
      <c r="G51" s="1">
        <f t="shared" si="0"/>
        <v>402.03979902492239</v>
      </c>
      <c r="H51" s="2">
        <f t="shared" si="1"/>
        <v>191.47762695960776</v>
      </c>
      <c r="I51" t="str">
        <f t="shared" si="2"/>
        <v>FALSE</v>
      </c>
    </row>
    <row r="52" spans="1:9" x14ac:dyDescent="0.25">
      <c r="A52">
        <v>51</v>
      </c>
      <c r="B52">
        <v>1765796</v>
      </c>
      <c r="C52">
        <v>5927187</v>
      </c>
      <c r="D52">
        <v>11743</v>
      </c>
      <c r="E52" t="s">
        <v>4</v>
      </c>
      <c r="F52">
        <v>6</v>
      </c>
      <c r="G52" s="1">
        <f t="shared" si="0"/>
        <v>11742.687341490448</v>
      </c>
      <c r="H52" s="2">
        <f t="shared" si="1"/>
        <v>6.1548354215594605</v>
      </c>
      <c r="I52" t="str">
        <f t="shared" si="2"/>
        <v>TRUE</v>
      </c>
    </row>
  </sheetData>
  <conditionalFormatting sqref="A1:F52">
    <cfRule type="cellIs" dxfId="0" priority="2" operator="equal">
      <formula>"Y"</formula>
    </cfRule>
  </conditionalFormatting>
  <conditionalFormatting sqref="H1:H1048576">
    <cfRule type="expression" priority="1">
      <formula>"if($C$3&gt;$C$2)"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DFB2-7C92-4B1B-89D5-64A86B78660C}">
  <dimension ref="A1:A9"/>
  <sheetViews>
    <sheetView workbookViewId="0">
      <selection activeCell="C7" sqref="C7"/>
    </sheetView>
  </sheetViews>
  <sheetFormatPr defaultRowHeight="15" x14ac:dyDescent="0.25"/>
  <sheetData>
    <row r="1" spans="1:1" x14ac:dyDescent="0.25">
      <c r="A1">
        <v>18</v>
      </c>
    </row>
    <row r="2" spans="1:1" x14ac:dyDescent="0.25">
      <c r="A2">
        <v>66</v>
      </c>
    </row>
    <row r="3" spans="1:1" x14ac:dyDescent="0.25">
      <c r="A3">
        <v>175</v>
      </c>
    </row>
    <row r="4" spans="1:1" x14ac:dyDescent="0.25">
      <c r="A4">
        <v>35</v>
      </c>
    </row>
    <row r="5" spans="1:1" x14ac:dyDescent="0.25">
      <c r="A5">
        <v>40</v>
      </c>
    </row>
    <row r="6" spans="1:1" x14ac:dyDescent="0.25">
      <c r="A6">
        <v>161</v>
      </c>
    </row>
    <row r="7" spans="1:1" x14ac:dyDescent="0.25">
      <c r="A7">
        <v>51</v>
      </c>
    </row>
    <row r="8" spans="1:1" x14ac:dyDescent="0.25">
      <c r="A8">
        <v>8</v>
      </c>
    </row>
    <row r="9" spans="1:1" x14ac:dyDescent="0.25">
      <c r="A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AVF structural analysis</vt:lpstr>
      <vt:lpstr>Final azimuths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Miller</cp:lastModifiedBy>
  <dcterms:created xsi:type="dcterms:W3CDTF">2026-04-08T04:44:49Z</dcterms:created>
  <dcterms:modified xsi:type="dcterms:W3CDTF">2026-04-12T08:15:11Z</dcterms:modified>
</cp:coreProperties>
</file>